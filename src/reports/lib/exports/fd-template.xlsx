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bluespec-my.sharepoint.com/personal/drienie_f_renew-it_co_za/Documents/Desktop/DAILY REPORT/MOVEMENT 2026/JUN 26/"/>
    </mc:Choice>
  </mc:AlternateContent>
  <xr:revisionPtr revIDLastSave="510" documentId="8_{35AB3503-B5A0-4650-841E-5DEF4421F241}" xr6:coauthVersionLast="47" xr6:coauthVersionMax="47" xr10:uidLastSave="{87ED795D-AA48-49FB-8BFD-D0B5D92DF326}"/>
  <bookViews>
    <workbookView xWindow="-110" yWindow="-110" windowWidth="19420" windowHeight="10300" tabRatio="670" activeTab="1" xr2:uid="{00000000-000D-0000-FFFF-FFFF00000000}"/>
  </bookViews>
  <sheets>
    <sheet name="WIP ANALYSIS" sheetId="2" r:id="rId1"/>
    <sheet name="TARGET" sheetId="1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0" i="2" l="1"/>
  <c r="C19" i="2"/>
  <c r="C17" i="2"/>
  <c r="C16" i="2"/>
  <c r="C14" i="2"/>
  <c r="C13" i="2"/>
  <c r="C12" i="2"/>
  <c r="C11" i="2"/>
  <c r="C10" i="2"/>
  <c r="H20" i="13"/>
  <c r="K41" i="13"/>
  <c r="K42" i="13"/>
  <c r="K43" i="13"/>
  <c r="K44" i="13"/>
  <c r="K45" i="13"/>
  <c r="K40" i="13"/>
  <c r="K35" i="13"/>
  <c r="K34" i="13"/>
  <c r="K30" i="13"/>
  <c r="K29" i="13"/>
  <c r="H12" i="13"/>
  <c r="H13" i="13"/>
  <c r="H14" i="13"/>
  <c r="H15" i="13"/>
  <c r="H16" i="13"/>
  <c r="H17" i="13"/>
  <c r="H18" i="13"/>
  <c r="H11" i="13"/>
  <c r="N53" i="13" l="1"/>
  <c r="N11" i="13" l="1"/>
  <c r="M41" i="13" l="1"/>
  <c r="M44" i="13"/>
  <c r="M40" i="13"/>
  <c r="M29" i="13"/>
  <c r="M42" i="13"/>
  <c r="M43" i="13"/>
  <c r="M45" i="13"/>
  <c r="M35" i="13"/>
  <c r="M34" i="13"/>
  <c r="M30" i="13"/>
  <c r="O35" i="13"/>
  <c r="P35" i="13" s="1"/>
  <c r="Q35" i="13" s="1"/>
  <c r="O34" i="13"/>
  <c r="P34" i="13" s="1"/>
  <c r="Q34" i="13" s="1"/>
  <c r="R20" i="13" l="1"/>
  <c r="O45" i="13" l="1"/>
  <c r="P45" i="13" s="1"/>
  <c r="Q45" i="13" s="1"/>
  <c r="O44" i="13"/>
  <c r="P44" i="13" s="1"/>
  <c r="Q44" i="13" s="1"/>
  <c r="O43" i="13"/>
  <c r="P43" i="13" s="1"/>
  <c r="Q43" i="13" s="1"/>
  <c r="O41" i="13"/>
  <c r="P41" i="13" s="1"/>
  <c r="Q41" i="13" s="1"/>
  <c r="O42" i="13"/>
  <c r="P42" i="13" s="1"/>
  <c r="Q42" i="13" s="1"/>
  <c r="O40" i="13"/>
  <c r="P40" i="13" s="1"/>
  <c r="Q40" i="13" s="1"/>
  <c r="O30" i="13"/>
  <c r="P30" i="13" s="1"/>
  <c r="Q30" i="13" s="1"/>
  <c r="O29" i="13"/>
  <c r="P29" i="13" s="1"/>
  <c r="Q29" i="13" s="1"/>
  <c r="C18" i="2"/>
  <c r="T20" i="13"/>
  <c r="R19" i="13"/>
  <c r="T19" i="13" s="1"/>
  <c r="T45" i="13" l="1"/>
  <c r="T44" i="13"/>
  <c r="T43" i="13"/>
  <c r="T42" i="13"/>
  <c r="T41" i="13"/>
  <c r="T40" i="13"/>
  <c r="R18" i="13"/>
  <c r="T18" i="13" s="1"/>
  <c r="R17" i="13"/>
  <c r="T17" i="13" s="1"/>
  <c r="U45" i="13" l="1"/>
  <c r="W45" i="13" s="1"/>
  <c r="U44" i="13"/>
  <c r="W44" i="13" s="1"/>
  <c r="U43" i="13"/>
  <c r="W43" i="13" s="1"/>
  <c r="W42" i="13"/>
  <c r="U42" i="13"/>
  <c r="U41" i="13"/>
  <c r="W41" i="13" s="1"/>
  <c r="U40" i="13"/>
  <c r="W40" i="13" s="1"/>
  <c r="C24" i="2"/>
  <c r="N20" i="13" l="1"/>
  <c r="N19" i="13"/>
  <c r="C21" i="2" l="1"/>
  <c r="N18" i="13"/>
  <c r="N17" i="13"/>
  <c r="N16" i="13"/>
  <c r="N15" i="13"/>
  <c r="N14" i="13"/>
  <c r="N13" i="13"/>
  <c r="N12" i="13"/>
  <c r="O12" i="13" l="1"/>
  <c r="O11" i="13"/>
  <c r="M12" i="13" l="1"/>
  <c r="M14" i="13"/>
  <c r="M16" i="13"/>
  <c r="M17" i="13"/>
  <c r="M18" i="13"/>
  <c r="M19" i="13"/>
  <c r="M20" i="13"/>
  <c r="M11" i="13"/>
  <c r="M15" i="13" l="1"/>
  <c r="O19" i="13" l="1"/>
  <c r="O20" i="13"/>
  <c r="P19" i="13" l="1"/>
  <c r="P12" i="13"/>
  <c r="P20" i="13"/>
  <c r="P11" i="13"/>
  <c r="K10" i="13"/>
  <c r="G18" i="2" l="1"/>
  <c r="F17" i="2" l="1"/>
  <c r="G17" i="2"/>
  <c r="G15" i="2" l="1"/>
  <c r="F15" i="2"/>
  <c r="F16" i="2"/>
  <c r="G16" i="2"/>
  <c r="F14" i="2" l="1"/>
  <c r="G14" i="2"/>
  <c r="F13" i="2" l="1"/>
  <c r="G13" i="2"/>
  <c r="F12" i="2" l="1"/>
  <c r="G12" i="2"/>
  <c r="F11" i="2" l="1"/>
  <c r="G10" i="2" s="1"/>
  <c r="G11" i="2"/>
  <c r="F10" i="2" l="1"/>
  <c r="J20" i="13" l="1"/>
  <c r="K20" i="13"/>
  <c r="J11" i="13" l="1"/>
  <c r="J19" i="13" l="1"/>
  <c r="K19" i="13"/>
  <c r="J12" i="13"/>
  <c r="K12" i="13"/>
  <c r="K11" i="13"/>
  <c r="O13" i="13"/>
  <c r="O18" i="13"/>
  <c r="O17" i="13"/>
  <c r="P17" i="13" s="1"/>
  <c r="O16" i="13"/>
  <c r="O15" i="13"/>
  <c r="P15" i="13" s="1"/>
  <c r="O14" i="13"/>
  <c r="P14" i="13" s="1"/>
  <c r="J18" i="13"/>
  <c r="J17" i="13"/>
  <c r="K16" i="13"/>
  <c r="J16" i="13" l="1"/>
  <c r="K17" i="13"/>
  <c r="J15" i="13"/>
  <c r="K15" i="13"/>
  <c r="P18" i="13"/>
  <c r="J14" i="13"/>
  <c r="K14" i="13"/>
  <c r="P16" i="13"/>
  <c r="K18" i="13"/>
  <c r="K13" i="13"/>
  <c r="P13" i="13"/>
  <c r="J13" i="13"/>
  <c r="M13" i="13"/>
</calcChain>
</file>

<file path=xl/sharedStrings.xml><?xml version="1.0" encoding="utf-8"?>
<sst xmlns="http://schemas.openxmlformats.org/spreadsheetml/2006/main" count="139" uniqueCount="73">
  <si>
    <t>Invoiced</t>
  </si>
  <si>
    <t>Delivered</t>
  </si>
  <si>
    <t>MTD</t>
  </si>
  <si>
    <t>Day</t>
  </si>
  <si>
    <t>Target</t>
  </si>
  <si>
    <t>Panel</t>
  </si>
  <si>
    <t>Paint</t>
  </si>
  <si>
    <t>Assembly</t>
  </si>
  <si>
    <t>Ready</t>
  </si>
  <si>
    <t>Shortfall to</t>
  </si>
  <si>
    <t>Conversions</t>
  </si>
  <si>
    <t>Parts</t>
  </si>
  <si>
    <t>QC</t>
  </si>
  <si>
    <t>TOTAL</t>
  </si>
  <si>
    <t>Current month WIP</t>
  </si>
  <si>
    <t>Final Costing</t>
  </si>
  <si>
    <t>Days Left</t>
  </si>
  <si>
    <t>TARGET</t>
  </si>
  <si>
    <t>FROM</t>
  </si>
  <si>
    <t>Achieved</t>
  </si>
  <si>
    <t>to Target</t>
  </si>
  <si>
    <t>Total Production</t>
  </si>
  <si>
    <t>Total Final cost</t>
  </si>
  <si>
    <t xml:space="preserve">Prelim Conversions </t>
  </si>
  <si>
    <t xml:space="preserve">Converted </t>
  </si>
  <si>
    <t xml:space="preserve">Received Parts </t>
  </si>
  <si>
    <t xml:space="preserve">Panel </t>
  </si>
  <si>
    <t xml:space="preserve">Assembly </t>
  </si>
  <si>
    <t xml:space="preserve">QC </t>
  </si>
  <si>
    <t xml:space="preserve">Delivered </t>
  </si>
  <si>
    <t xml:space="preserve">Invoiced </t>
  </si>
  <si>
    <t>Polish</t>
  </si>
  <si>
    <t>Renew-it Rivonia</t>
  </si>
  <si>
    <t xml:space="preserve">WIP         </t>
  </si>
  <si>
    <t>Unsubmitted</t>
  </si>
  <si>
    <t>Variance</t>
  </si>
  <si>
    <t xml:space="preserve">MTD </t>
  </si>
  <si>
    <t>Month</t>
  </si>
  <si>
    <t>Shortfall</t>
  </si>
  <si>
    <t>Month tar.</t>
  </si>
  <si>
    <t>Daily tar.</t>
  </si>
  <si>
    <t>Drienie</t>
  </si>
  <si>
    <t>Revised target</t>
  </si>
  <si>
    <t>Movement</t>
  </si>
  <si>
    <t>Under/Over</t>
  </si>
  <si>
    <t>Department</t>
  </si>
  <si>
    <t xml:space="preserve"> SHORTFALL</t>
  </si>
  <si>
    <t>Thu</t>
  </si>
  <si>
    <t>Tue</t>
  </si>
  <si>
    <t>Wed</t>
  </si>
  <si>
    <t>Quote</t>
  </si>
  <si>
    <t>Booked</t>
  </si>
  <si>
    <t>Total</t>
  </si>
  <si>
    <t>Mon</t>
  </si>
  <si>
    <t>Comm</t>
  </si>
  <si>
    <t>Prelim Conversions</t>
  </si>
  <si>
    <t>Converted</t>
  </si>
  <si>
    <t>Invoiced (prior and current)</t>
  </si>
  <si>
    <t>Weekly Target</t>
  </si>
  <si>
    <t>Today's Target</t>
  </si>
  <si>
    <t>DEPARTMENT</t>
  </si>
  <si>
    <t>WEEK 2</t>
  </si>
  <si>
    <t>Day 1</t>
  </si>
  <si>
    <t>Day 2</t>
  </si>
  <si>
    <t>Day 3</t>
  </si>
  <si>
    <t>Day 4</t>
  </si>
  <si>
    <t>Day 5</t>
  </si>
  <si>
    <t>Fri</t>
  </si>
  <si>
    <t>May</t>
  </si>
  <si>
    <t>WEEK 1</t>
  </si>
  <si>
    <t>Day 1 May</t>
  </si>
  <si>
    <t>DAY 1</t>
  </si>
  <si>
    <t>DAILY TARGET WEEK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</si>
</sst>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 * #,##0_ ;_ * \-#,##0_ ;_ * &quot;-&quot;??_ ;_ @_ "/>
    <numFmt numFmtId="165" formatCode="#,##0_ ;[Red]\-#,##0\ "/>
    <numFmt numFmtId="166" formatCode="#,##0_ ;\-#,##0\ "/>
    <numFmt numFmtId="167" formatCode="[$-1C09]dd\ mmmm\ yyyy;@"/>
    <numFmt numFmtId="168" formatCode="[$-10409]#,##0.00;\-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2">
    <xf numFmtId="0" fontId="0" fillId="0" borderId="0" xfId="0"/>
    <xf numFmtId="164" fontId="0" fillId="0" borderId="0" xfId="1" applyNumberFormat="1" applyFont="1"/>
    <xf numFmtId="164" fontId="2" fillId="2" borderId="2" xfId="1" applyNumberFormat="1" applyFont="1" applyFill="1" applyBorder="1"/>
    <xf numFmtId="164" fontId="2" fillId="3" borderId="1" xfId="1" applyNumberFormat="1" applyFont="1" applyFill="1" applyBorder="1" applyAlignment="1">
      <alignment horizontal="center" vertical="center" wrapText="1"/>
    </xf>
    <xf numFmtId="164" fontId="2" fillId="3" borderId="5" xfId="1" applyNumberFormat="1" applyFont="1" applyFill="1" applyBorder="1" applyAlignment="1">
      <alignment horizontal="center" vertical="center" wrapText="1"/>
    </xf>
    <xf numFmtId="164" fontId="2" fillId="3" borderId="4" xfId="1" applyNumberFormat="1" applyFont="1" applyFill="1" applyBorder="1" applyAlignment="1">
      <alignment horizontal="center" vertical="center" wrapText="1"/>
    </xf>
    <xf numFmtId="164" fontId="0" fillId="3" borderId="2" xfId="1" applyNumberFormat="1" applyFont="1" applyFill="1" applyBorder="1"/>
    <xf numFmtId="164" fontId="2" fillId="3" borderId="2" xfId="1" applyNumberFormat="1" applyFont="1" applyFill="1" applyBorder="1" applyAlignment="1">
      <alignment horizontal="center"/>
    </xf>
    <xf numFmtId="164" fontId="2" fillId="3" borderId="4" xfId="1" quotePrefix="1" applyNumberFormat="1" applyFont="1" applyFill="1" applyBorder="1" applyAlignment="1">
      <alignment horizontal="center"/>
    </xf>
    <xf numFmtId="164" fontId="2" fillId="3" borderId="4" xfId="1" applyNumberFormat="1" applyFont="1" applyFill="1" applyBorder="1" applyAlignment="1">
      <alignment horizontal="center"/>
    </xf>
    <xf numFmtId="14" fontId="2" fillId="3" borderId="5" xfId="1" quotePrefix="1" applyNumberFormat="1" applyFont="1" applyFill="1" applyBorder="1" applyAlignment="1">
      <alignment horizontal="center" vertical="center" wrapText="1"/>
    </xf>
    <xf numFmtId="164" fontId="0" fillId="4" borderId="0" xfId="1" applyNumberFormat="1" applyFont="1" applyFill="1"/>
    <xf numFmtId="164" fontId="4" fillId="4" borderId="0" xfId="1" applyNumberFormat="1" applyFont="1" applyFill="1"/>
    <xf numFmtId="164" fontId="3" fillId="4" borderId="0" xfId="1" applyNumberFormat="1" applyFont="1" applyFill="1"/>
    <xf numFmtId="164" fontId="2" fillId="4" borderId="1" xfId="1" applyNumberFormat="1" applyFont="1" applyFill="1" applyBorder="1" applyAlignment="1">
      <alignment horizontal="center" vertical="center" wrapText="1"/>
    </xf>
    <xf numFmtId="164" fontId="2" fillId="4" borderId="0" xfId="1" applyNumberFormat="1" applyFont="1" applyFill="1" applyBorder="1" applyAlignment="1">
      <alignment horizontal="center" vertical="center" wrapText="1"/>
    </xf>
    <xf numFmtId="166" fontId="2" fillId="4" borderId="1" xfId="1" applyNumberFormat="1" applyFont="1" applyFill="1" applyBorder="1" applyAlignment="1">
      <alignment horizontal="center" vertical="center" wrapText="1"/>
    </xf>
    <xf numFmtId="164" fontId="2" fillId="4" borderId="0" xfId="1" applyNumberFormat="1" applyFont="1" applyFill="1" applyBorder="1"/>
    <xf numFmtId="164" fontId="0" fillId="4" borderId="3" xfId="1" applyNumberFormat="1" applyFont="1" applyFill="1" applyBorder="1"/>
    <xf numFmtId="164" fontId="0" fillId="4" borderId="0" xfId="1" applyNumberFormat="1" applyFont="1" applyFill="1" applyBorder="1"/>
    <xf numFmtId="164" fontId="0" fillId="4" borderId="1" xfId="1" applyNumberFormat="1" applyFont="1" applyFill="1" applyBorder="1"/>
    <xf numFmtId="165" fontId="5" fillId="4" borderId="1" xfId="1" applyNumberFormat="1" applyFont="1" applyFill="1" applyBorder="1"/>
    <xf numFmtId="9" fontId="0" fillId="4" borderId="1" xfId="2" applyFont="1" applyFill="1" applyBorder="1" applyAlignment="1">
      <alignment horizontal="center" vertical="center"/>
    </xf>
    <xf numFmtId="164" fontId="2" fillId="4" borderId="1" xfId="1" applyNumberFormat="1" applyFont="1" applyFill="1" applyBorder="1"/>
    <xf numFmtId="164" fontId="1" fillId="4" borderId="1" xfId="1" applyNumberFormat="1" applyFont="1" applyFill="1" applyBorder="1"/>
    <xf numFmtId="164" fontId="2" fillId="4" borderId="3" xfId="1" applyNumberFormat="1" applyFont="1" applyFill="1" applyBorder="1"/>
    <xf numFmtId="164" fontId="2" fillId="4" borderId="2" xfId="1" applyNumberFormat="1" applyFont="1" applyFill="1" applyBorder="1"/>
    <xf numFmtId="164" fontId="0" fillId="4" borderId="5" xfId="1" applyNumberFormat="1" applyFont="1" applyFill="1" applyBorder="1"/>
    <xf numFmtId="164" fontId="2" fillId="4" borderId="5" xfId="1" applyNumberFormat="1" applyFont="1" applyFill="1" applyBorder="1"/>
    <xf numFmtId="164" fontId="2" fillId="4" borderId="6" xfId="1" applyNumberFormat="1" applyFont="1" applyFill="1" applyBorder="1"/>
    <xf numFmtId="164" fontId="1" fillId="4" borderId="6" xfId="1" applyNumberFormat="1" applyFont="1" applyFill="1" applyBorder="1"/>
    <xf numFmtId="167" fontId="0" fillId="3" borderId="2" xfId="1" applyNumberFormat="1" applyFont="1" applyFill="1" applyBorder="1"/>
    <xf numFmtId="164" fontId="2" fillId="0" borderId="0" xfId="1" applyNumberFormat="1" applyFont="1"/>
    <xf numFmtId="164" fontId="7" fillId="0" borderId="0" xfId="1" applyNumberFormat="1" applyFont="1"/>
    <xf numFmtId="164" fontId="2" fillId="0" borderId="0" xfId="1" applyNumberFormat="1" applyFont="1" applyBorder="1"/>
    <xf numFmtId="9" fontId="2" fillId="0" borderId="1" xfId="2" applyFont="1" applyFill="1" applyBorder="1" applyAlignment="1">
      <alignment horizontal="center" vertical="center"/>
    </xf>
    <xf numFmtId="168" fontId="0" fillId="0" borderId="0" xfId="0" applyNumberFormat="1"/>
    <xf numFmtId="166" fontId="2" fillId="4" borderId="0" xfId="1" applyNumberFormat="1" applyFont="1" applyFill="1" applyBorder="1" applyAlignment="1">
      <alignment horizontal="center" vertical="center" wrapText="1"/>
    </xf>
    <xf numFmtId="164" fontId="0" fillId="5" borderId="2" xfId="1" applyNumberFormat="1" applyFont="1" applyFill="1" applyBorder="1"/>
    <xf numFmtId="164" fontId="2" fillId="5" borderId="4" xfId="1" applyNumberFormat="1" applyFont="1" applyFill="1" applyBorder="1" applyAlignment="1">
      <alignment horizontal="center" vertical="center" wrapText="1"/>
    </xf>
    <xf numFmtId="164" fontId="2" fillId="5" borderId="4" xfId="1" applyNumberFormat="1" applyFont="1" applyFill="1" applyBorder="1"/>
    <xf numFmtId="164" fontId="2" fillId="5" borderId="5" xfId="1" applyNumberFormat="1" applyFont="1" applyFill="1" applyBorder="1" applyAlignment="1">
      <alignment horizontal="center" vertical="center" wrapText="1"/>
    </xf>
    <xf numFmtId="164" fontId="2" fillId="5" borderId="5" xfId="1" applyNumberFormat="1" applyFont="1" applyFill="1" applyBorder="1"/>
    <xf numFmtId="164" fontId="2" fillId="5" borderId="1" xfId="1" applyNumberFormat="1" applyFont="1" applyFill="1" applyBorder="1"/>
    <xf numFmtId="164" fontId="0" fillId="0" borderId="1" xfId="1" applyNumberFormat="1" applyFont="1" applyFill="1" applyBorder="1"/>
    <xf numFmtId="9" fontId="2" fillId="5" borderId="1" xfId="1" applyNumberFormat="1" applyFont="1" applyFill="1" applyBorder="1"/>
    <xf numFmtId="164" fontId="0" fillId="0" borderId="0" xfId="1" applyNumberFormat="1" applyFont="1" applyFill="1" applyBorder="1"/>
    <xf numFmtId="164" fontId="2" fillId="0" borderId="1" xfId="1" applyNumberFormat="1" applyFont="1" applyFill="1" applyBorder="1" applyAlignment="1">
      <alignment horizontal="center" vertical="center"/>
    </xf>
    <xf numFmtId="164" fontId="0" fillId="5" borderId="1" xfId="1" applyNumberFormat="1" applyFont="1" applyFill="1" applyBorder="1"/>
    <xf numFmtId="164" fontId="1" fillId="0" borderId="0" xfId="1" applyNumberFormat="1" applyFont="1" applyBorder="1"/>
    <xf numFmtId="164" fontId="0" fillId="0" borderId="0" xfId="1" applyNumberFormat="1" applyFont="1" applyBorder="1"/>
    <xf numFmtId="164" fontId="4" fillId="5" borderId="1" xfId="1" applyNumberFormat="1" applyFont="1" applyFill="1" applyBorder="1"/>
    <xf numFmtId="164" fontId="0" fillId="0" borderId="1" xfId="1" applyNumberFormat="1" applyFont="1" applyBorder="1"/>
    <xf numFmtId="164" fontId="2" fillId="0" borderId="1" xfId="1" applyNumberFormat="1" applyFont="1" applyBorder="1"/>
    <xf numFmtId="164" fontId="2" fillId="0" borderId="0" xfId="1" applyNumberFormat="1" applyFont="1" applyAlignment="1">
      <alignment horizontal="center"/>
    </xf>
    <xf numFmtId="14" fontId="2" fillId="0" borderId="0" xfId="1" applyNumberFormat="1" applyFont="1"/>
    <xf numFmtId="164" fontId="2" fillId="0" borderId="1" xfId="1" applyNumberFormat="1" applyFont="1" applyBorder="1" applyAlignment="1">
      <alignment horizontal="center"/>
    </xf>
    <xf numFmtId="164" fontId="7" fillId="0" borderId="0" xfId="1" applyNumberFormat="1" applyFont="1" applyBorder="1"/>
    <xf numFmtId="164" fontId="8" fillId="3" borderId="1" xfId="1" applyNumberFormat="1" applyFont="1" applyFill="1" applyBorder="1"/>
    <xf numFmtId="9" fontId="0" fillId="0" borderId="0" xfId="1" applyNumberFormat="1" applyFont="1"/>
    <xf numFmtId="165" fontId="5" fillId="4" borderId="0" xfId="1" applyNumberFormat="1" applyFont="1" applyFill="1" applyBorder="1"/>
    <xf numFmtId="164" fontId="1" fillId="0" borderId="0" xfId="1" applyNumberFormat="1" applyFont="1"/>
    <xf numFmtId="164" fontId="1" fillId="6" borderId="1" xfId="1" applyNumberFormat="1" applyFont="1" applyFill="1" applyBorder="1"/>
    <xf numFmtId="164" fontId="1" fillId="0" borderId="1" xfId="1" applyNumberFormat="1" applyFont="1" applyBorder="1"/>
    <xf numFmtId="164" fontId="3" fillId="0" borderId="1" xfId="1" applyNumberFormat="1" applyFont="1" applyFill="1" applyBorder="1"/>
    <xf numFmtId="164" fontId="0" fillId="0" borderId="0" xfId="1" applyNumberFormat="1" applyFont="1" applyFill="1"/>
    <xf numFmtId="164" fontId="1" fillId="0" borderId="1" xfId="1" applyNumberFormat="1" applyFont="1" applyFill="1" applyBorder="1"/>
    <xf numFmtId="164" fontId="2" fillId="6" borderId="1" xfId="1" applyNumberFormat="1" applyFont="1" applyFill="1" applyBorder="1"/>
    <xf numFmtId="164" fontId="2" fillId="0" borderId="7" xfId="1" applyNumberFormat="1" applyFont="1" applyBorder="1"/>
    <xf numFmtId="164" fontId="4" fillId="0" borderId="1" xfId="1" applyNumberFormat="1" applyFont="1" applyBorder="1"/>
    <xf numFmtId="164" fontId="2" fillId="0" borderId="0" xfId="1" applyNumberFormat="1" applyFont="1" applyBorder="1" applyAlignment="1">
      <alignment horizontal="center"/>
    </xf>
    <xf numFmtId="9" fontId="0" fillId="0" borderId="0" xfId="1" applyNumberFormat="1" applyFont="1" applyBorder="1"/>
    <xf numFmtId="164" fontId="10" fillId="5" borderId="1" xfId="1" applyNumberFormat="1" applyFont="1" applyFill="1" applyBorder="1"/>
    <xf numFmtId="164" fontId="2" fillId="4" borderId="0" xfId="1" applyNumberFormat="1" applyFont="1" applyFill="1" applyBorder="1" applyAlignment="1">
      <alignment horizontal="right"/>
    </xf>
    <xf numFmtId="164" fontId="9" fillId="4" borderId="0" xfId="1" applyNumberFormat="1" applyFont="1" applyFill="1" applyBorder="1"/>
    <xf numFmtId="164" fontId="7" fillId="4" borderId="0" xfId="1" applyNumberFormat="1" applyFont="1" applyFill="1" applyBorder="1"/>
    <xf numFmtId="164" fontId="4" fillId="5" borderId="8" xfId="1" applyNumberFormat="1" applyFont="1" applyFill="1" applyBorder="1"/>
    <xf numFmtId="164" fontId="7" fillId="0" borderId="1" xfId="1" applyNumberFormat="1" applyFont="1" applyBorder="1"/>
    <xf numFmtId="164" fontId="4" fillId="2" borderId="8" xfId="1" applyNumberFormat="1" applyFont="1" applyFill="1" applyBorder="1"/>
    <xf numFmtId="9" fontId="4" fillId="0" borderId="0" xfId="1" applyNumberFormat="1" applyFont="1"/>
    <xf numFmtId="164" fontId="4" fillId="0" borderId="0" xfId="1" applyNumberFormat="1" applyFont="1"/>
    <xf numFmtId="164" fontId="4" fillId="0" borderId="0" xfId="1" applyNumberFormat="1" applyFont="1" applyBorder="1"/>
    <xf numFmtId="1" fontId="4" fillId="2" borderId="8" xfId="1" applyNumberFormat="1" applyFont="1" applyFill="1" applyBorder="1"/>
    <xf numFmtId="164" fontId="4" fillId="0" borderId="1" xfId="1" applyNumberFormat="1" applyFont="1" applyBorder="1" applyAlignment="1">
      <alignment horizontal="center"/>
    </xf>
    <xf numFmtId="164" fontId="4" fillId="0" borderId="0" xfId="1" applyNumberFormat="1" applyFont="1" applyBorder="1" applyAlignment="1">
      <alignment horizontal="left"/>
    </xf>
    <xf numFmtId="14" fontId="0" fillId="0" borderId="0" xfId="1" applyNumberFormat="1" applyFont="1"/>
    <xf numFmtId="164" fontId="4" fillId="7" borderId="1" xfId="1" applyNumberFormat="1" applyFont="1" applyFill="1" applyBorder="1" applyAlignment="1">
      <alignment wrapText="1"/>
    </xf>
    <xf numFmtId="164" fontId="4" fillId="0" borderId="1" xfId="1" applyNumberFormat="1" applyFont="1" applyBorder="1" applyAlignment="1">
      <alignment wrapText="1"/>
    </xf>
    <xf numFmtId="164" fontId="4" fillId="0" borderId="1" xfId="1" applyNumberFormat="1" applyFont="1" applyBorder="1" applyAlignment="1">
      <alignment horizontal="left"/>
    </xf>
    <xf numFmtId="164" fontId="4" fillId="2" borderId="1" xfId="1" applyNumberFormat="1" applyFont="1" applyFill="1" applyBorder="1"/>
    <xf numFmtId="164" fontId="4" fillId="0" borderId="1" xfId="1" applyNumberFormat="1" applyFont="1" applyFill="1" applyBorder="1"/>
    <xf numFmtId="164" fontId="0" fillId="7" borderId="1" xfId="1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J24"/>
  <sheetViews>
    <sheetView topLeftCell="A3" zoomScale="96" zoomScaleNormal="96" workbookViewId="0">
      <selection activeCell="G21" sqref="G21"/>
    </sheetView>
  </sheetViews>
  <sheetFormatPr defaultColWidth="8.7265625" defaultRowHeight="14.5" x14ac:dyDescent="0.35"/>
  <cols>
    <col min="1" max="1" width="8.7265625" style="11"/>
    <col min="2" max="2" width="22.26953125" style="11" bestFit="1" customWidth="1"/>
    <col min="3" max="3" width="11.26953125" style="11" customWidth="1"/>
    <col min="4" max="4" width="6.453125" style="11" bestFit="1" customWidth="1"/>
    <col min="5" max="5" width="13.7265625" style="11" bestFit="1" customWidth="1"/>
    <col min="6" max="6" width="9.26953125" style="11" bestFit="1" customWidth="1"/>
    <col min="7" max="7" width="10.54296875" style="11" bestFit="1" customWidth="1"/>
    <col min="8" max="8" width="8.7265625" style="11"/>
    <col min="9" max="36" width="8.7265625" style="19"/>
    <col min="37" max="16384" width="8.7265625" style="11"/>
  </cols>
  <sheetData>
    <row r="2" spans="2:36" ht="18.5" x14ac:dyDescent="0.45">
      <c r="B2" s="13" t="s">
        <v>32</v>
      </c>
    </row>
    <row r="3" spans="2:36" ht="15.5" x14ac:dyDescent="0.35">
      <c r="B3" s="58" t="s">
        <v>45</v>
      </c>
      <c r="C3" s="58" t="s">
        <v>52</v>
      </c>
    </row>
    <row r="4" spans="2:36" x14ac:dyDescent="0.35">
      <c r="B4" s="24" t="s">
        <v>50</v>
      </c>
      <c r="C4" s="20">
        <v>991</v>
      </c>
    </row>
    <row r="5" spans="2:36" x14ac:dyDescent="0.35">
      <c r="B5" s="20" t="s">
        <v>51</v>
      </c>
      <c r="C5" s="20">
        <v>926</v>
      </c>
    </row>
    <row r="6" spans="2:36" x14ac:dyDescent="0.35">
      <c r="B6" s="20"/>
      <c r="C6" s="20"/>
    </row>
    <row r="7" spans="2:36" s="65" customFormat="1" ht="18.5" x14ac:dyDescent="0.45">
      <c r="B7" s="44"/>
      <c r="C7" s="64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</row>
    <row r="8" spans="2:36" ht="15" customHeight="1" x14ac:dyDescent="0.35">
      <c r="B8" s="3" t="s">
        <v>33</v>
      </c>
      <c r="C8" s="3" t="s">
        <v>13</v>
      </c>
      <c r="E8" s="26"/>
      <c r="F8" s="26" t="s">
        <v>18</v>
      </c>
      <c r="G8" s="26" t="s">
        <v>17</v>
      </c>
    </row>
    <row r="9" spans="2:36" x14ac:dyDescent="0.35">
      <c r="B9" s="20"/>
      <c r="C9" s="20"/>
      <c r="E9" s="27"/>
      <c r="F9" s="27"/>
      <c r="G9" s="28">
        <v>0</v>
      </c>
    </row>
    <row r="10" spans="2:36" x14ac:dyDescent="0.35">
      <c r="B10" s="20" t="s">
        <v>10</v>
      </c>
      <c r="C10" s="20">
        <f>1752+576</f>
        <v>2328</v>
      </c>
      <c r="E10" s="23" t="s">
        <v>10</v>
      </c>
      <c r="F10" s="24">
        <f t="shared" ref="F10:F17" si="0">+C10+F11</f>
        <v>11795</v>
      </c>
      <c r="G10" s="24">
        <f>+$G$9-F11</f>
        <v>-9467</v>
      </c>
    </row>
    <row r="11" spans="2:36" x14ac:dyDescent="0.35">
      <c r="B11" s="20" t="s">
        <v>11</v>
      </c>
      <c r="C11" s="20">
        <f>1045+1904</f>
        <v>2949</v>
      </c>
      <c r="E11" s="23" t="s">
        <v>11</v>
      </c>
      <c r="F11" s="24">
        <f t="shared" si="0"/>
        <v>9467</v>
      </c>
      <c r="G11" s="24">
        <f t="shared" ref="G11:G16" si="1">+$G$9-F12</f>
        <v>-6518</v>
      </c>
    </row>
    <row r="12" spans="2:36" x14ac:dyDescent="0.35">
      <c r="B12" s="20" t="s">
        <v>5</v>
      </c>
      <c r="C12" s="20">
        <f>264+159+515+91</f>
        <v>1029</v>
      </c>
      <c r="E12" s="23" t="s">
        <v>5</v>
      </c>
      <c r="F12" s="24">
        <f t="shared" si="0"/>
        <v>6518</v>
      </c>
      <c r="G12" s="24">
        <f t="shared" si="1"/>
        <v>-5489</v>
      </c>
    </row>
    <row r="13" spans="2:36" x14ac:dyDescent="0.35">
      <c r="B13" s="20" t="s">
        <v>6</v>
      </c>
      <c r="C13" s="20">
        <f>951+463</f>
        <v>1414</v>
      </c>
      <c r="E13" s="23" t="s">
        <v>6</v>
      </c>
      <c r="F13" s="24">
        <f t="shared" si="0"/>
        <v>5489</v>
      </c>
      <c r="G13" s="24">
        <f t="shared" si="1"/>
        <v>-4075</v>
      </c>
    </row>
    <row r="14" spans="2:36" x14ac:dyDescent="0.35">
      <c r="B14" s="20" t="s">
        <v>7</v>
      </c>
      <c r="C14" s="20">
        <f>1228+1029</f>
        <v>2257</v>
      </c>
      <c r="E14" s="23" t="s">
        <v>7</v>
      </c>
      <c r="F14" s="24">
        <f>+C14+F16</f>
        <v>4075</v>
      </c>
      <c r="G14" s="24">
        <f>+$G$9-F16</f>
        <v>-1818</v>
      </c>
    </row>
    <row r="15" spans="2:36" x14ac:dyDescent="0.35">
      <c r="B15" s="20" t="s">
        <v>31</v>
      </c>
      <c r="C15" s="20">
        <v>453</v>
      </c>
      <c r="E15" s="23" t="s">
        <v>31</v>
      </c>
      <c r="F15" s="24">
        <f>+C15+F17</f>
        <v>1456</v>
      </c>
      <c r="G15" s="24">
        <f>+$G$9-F17</f>
        <v>-1003</v>
      </c>
    </row>
    <row r="16" spans="2:36" x14ac:dyDescent="0.35">
      <c r="B16" s="20" t="s">
        <v>12</v>
      </c>
      <c r="C16" s="20">
        <f>683+51+81</f>
        <v>815</v>
      </c>
      <c r="E16" s="23" t="s">
        <v>12</v>
      </c>
      <c r="F16" s="24">
        <f t="shared" si="0"/>
        <v>1818</v>
      </c>
      <c r="G16" s="24">
        <f t="shared" si="1"/>
        <v>-1003</v>
      </c>
    </row>
    <row r="17" spans="2:9" x14ac:dyDescent="0.35">
      <c r="B17" s="20" t="s">
        <v>8</v>
      </c>
      <c r="C17" s="20">
        <f>221+453</f>
        <v>674</v>
      </c>
      <c r="E17" s="23" t="s">
        <v>8</v>
      </c>
      <c r="F17" s="24">
        <f t="shared" si="0"/>
        <v>1003</v>
      </c>
      <c r="G17" s="24">
        <f>+$G$9-F18</f>
        <v>-329</v>
      </c>
    </row>
    <row r="18" spans="2:9" x14ac:dyDescent="0.35">
      <c r="B18" s="23" t="s">
        <v>21</v>
      </c>
      <c r="C18" s="23">
        <f>SUM(C10:C17)</f>
        <v>11919</v>
      </c>
      <c r="E18" s="23" t="s">
        <v>1</v>
      </c>
      <c r="F18" s="24">
        <v>329</v>
      </c>
      <c r="G18" s="24">
        <f>+$G$9-F19</f>
        <v>0</v>
      </c>
      <c r="I18" s="17"/>
    </row>
    <row r="19" spans="2:9" x14ac:dyDescent="0.35">
      <c r="B19" s="20" t="s">
        <v>15</v>
      </c>
      <c r="C19" s="20">
        <f>156+23</f>
        <v>179</v>
      </c>
      <c r="E19" s="25"/>
      <c r="F19" s="25"/>
    </row>
    <row r="20" spans="2:9" x14ac:dyDescent="0.35">
      <c r="B20" s="24" t="s">
        <v>0</v>
      </c>
      <c r="C20" s="24">
        <f>61+666</f>
        <v>727</v>
      </c>
    </row>
    <row r="21" spans="2:9" x14ac:dyDescent="0.35">
      <c r="B21" s="23" t="s">
        <v>14</v>
      </c>
      <c r="C21" s="23">
        <f>C18+C19+C20</f>
        <v>12825</v>
      </c>
      <c r="E21" s="23" t="s">
        <v>34</v>
      </c>
      <c r="F21" s="24">
        <v>1289</v>
      </c>
      <c r="G21" s="36"/>
      <c r="I21" s="17"/>
    </row>
    <row r="22" spans="2:9" x14ac:dyDescent="0.35">
      <c r="E22" s="25"/>
      <c r="F22" s="25"/>
    </row>
    <row r="23" spans="2:9" x14ac:dyDescent="0.35">
      <c r="B23" s="29"/>
      <c r="C23" s="30"/>
      <c r="D23" s="19"/>
      <c r="E23" s="17"/>
      <c r="F23" s="19"/>
    </row>
    <row r="24" spans="2:9" x14ac:dyDescent="0.35">
      <c r="B24" s="23" t="s">
        <v>22</v>
      </c>
      <c r="C24" s="23">
        <f>+C19+F21</f>
        <v>1468</v>
      </c>
    </row>
  </sheetData>
  <pageMargins left="0.70866141732283472" right="0.70866141732283472" top="0.74803149606299213" bottom="0.74803149606299213" header="0.31496062992125984" footer="0.31496062992125984"/>
  <pageSetup paperSize="9" scale="9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493C7-6A2A-4776-98D6-2CB8F2852D6B}">
  <sheetPr>
    <pageSetUpPr fitToPage="1"/>
  </sheetPr>
  <dimension ref="A1:W56"/>
  <sheetViews>
    <sheetView tabSelected="1" zoomScale="82" zoomScaleNormal="82" workbookViewId="0">
      <selection activeCell="G27" sqref="G27:G36"/>
    </sheetView>
  </sheetViews>
  <sheetFormatPr defaultColWidth="8.7265625" defaultRowHeight="14.5" x14ac:dyDescent="0.35"/>
  <cols>
    <col min="1" max="1" width="18.81640625" style="1" customWidth="1"/>
    <col min="2" max="2" width="11.453125" style="1" customWidth="1"/>
    <col min="3" max="3" width="12.453125" style="1" customWidth="1"/>
    <col min="4" max="7" width="11.26953125" style="1" bestFit="1" customWidth="1"/>
    <col min="8" max="8" width="9.81640625" style="1" customWidth="1"/>
    <col min="9" max="9" width="11.81640625" style="1" customWidth="1"/>
    <col min="10" max="10" width="16.7265625" style="1" customWidth="1"/>
    <col min="11" max="11" width="13.81640625" style="1" bestFit="1" customWidth="1"/>
    <col min="12" max="12" width="11" style="1" bestFit="1" customWidth="1"/>
    <col min="13" max="13" width="11.81640625" style="1" bestFit="1" customWidth="1"/>
    <col min="14" max="14" width="13.54296875" style="1" bestFit="1" customWidth="1"/>
    <col min="15" max="15" width="7.26953125" style="1" bestFit="1" customWidth="1"/>
    <col min="16" max="16" width="9" style="1" bestFit="1" customWidth="1"/>
    <col min="17" max="17" width="25" style="1" bestFit="1" customWidth="1"/>
    <col min="18" max="18" width="10.7265625" style="1" bestFit="1" customWidth="1"/>
    <col min="19" max="19" width="13.81640625" style="1" customWidth="1"/>
    <col min="20" max="20" width="12.26953125" style="1" bestFit="1" customWidth="1"/>
    <col min="21" max="21" width="16" style="1" bestFit="1" customWidth="1"/>
    <col min="22" max="22" width="12.453125" style="1" customWidth="1"/>
    <col min="23" max="23" width="10.453125" style="1" customWidth="1"/>
    <col min="24" max="24" width="9.7265625" style="1" bestFit="1" customWidth="1"/>
    <col min="25" max="16384" width="8.7265625" style="1"/>
  </cols>
  <sheetData>
    <row r="1" spans="1:21" x14ac:dyDescent="0.3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21" x14ac:dyDescent="0.3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21" x14ac:dyDescent="0.35">
      <c r="A3" s="12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46"/>
    </row>
    <row r="4" spans="1:21" ht="18.5" x14ac:dyDescent="0.45">
      <c r="A4" s="13" t="s">
        <v>32</v>
      </c>
      <c r="B4" s="13"/>
      <c r="C4" s="11"/>
      <c r="D4" s="14" t="s">
        <v>39</v>
      </c>
      <c r="E4" s="14" t="s">
        <v>40</v>
      </c>
      <c r="F4" s="15"/>
      <c r="G4" s="14" t="s">
        <v>3</v>
      </c>
      <c r="H4" s="16">
        <v>1</v>
      </c>
      <c r="I4" s="11"/>
      <c r="J4" s="14" t="s">
        <v>16</v>
      </c>
      <c r="K4" s="16">
        <v>19</v>
      </c>
      <c r="L4" s="37"/>
      <c r="M4" s="11"/>
      <c r="N4" s="11"/>
      <c r="O4" s="46"/>
    </row>
    <row r="5" spans="1:21" x14ac:dyDescent="0.35">
      <c r="A5" s="11" t="s">
        <v>41</v>
      </c>
      <c r="B5" s="11"/>
      <c r="C5" s="11"/>
      <c r="D5" s="2">
        <v>11000</v>
      </c>
      <c r="E5" s="2">
        <v>550</v>
      </c>
      <c r="F5" s="17"/>
      <c r="G5" s="11"/>
      <c r="H5" s="11"/>
      <c r="I5" s="11"/>
      <c r="J5" s="11"/>
      <c r="K5" s="11"/>
      <c r="L5" s="11"/>
      <c r="M5" s="11"/>
      <c r="N5" s="11"/>
      <c r="O5" s="46"/>
    </row>
    <row r="6" spans="1:21" x14ac:dyDescent="0.35">
      <c r="A6" s="11"/>
      <c r="B6" s="11"/>
      <c r="C6" s="11"/>
      <c r="D6" s="18"/>
      <c r="E6" s="18"/>
      <c r="F6" s="19"/>
      <c r="G6" s="19"/>
      <c r="H6" s="11"/>
      <c r="I6" s="11"/>
      <c r="J6" s="11"/>
      <c r="K6" s="11"/>
      <c r="L6" s="11"/>
      <c r="M6" s="11"/>
      <c r="N6" s="11"/>
      <c r="O6" s="46"/>
    </row>
    <row r="7" spans="1:21" ht="15" customHeight="1" x14ac:dyDescent="0.35">
      <c r="A7" s="31"/>
      <c r="B7" s="38"/>
      <c r="C7" s="7" t="s">
        <v>62</v>
      </c>
      <c r="D7" s="7" t="s">
        <v>63</v>
      </c>
      <c r="E7" s="7" t="s">
        <v>64</v>
      </c>
      <c r="F7" s="7" t="s">
        <v>65</v>
      </c>
      <c r="G7" s="7" t="s">
        <v>66</v>
      </c>
      <c r="H7" s="6"/>
      <c r="I7" s="6"/>
      <c r="J7" s="6"/>
      <c r="K7" s="6"/>
      <c r="L7" s="38"/>
      <c r="M7" s="38"/>
      <c r="N7" s="7" t="s">
        <v>37</v>
      </c>
      <c r="O7" s="46"/>
    </row>
    <row r="8" spans="1:21" x14ac:dyDescent="0.35">
      <c r="A8" s="8"/>
      <c r="B8" s="39" t="s">
        <v>2</v>
      </c>
      <c r="C8" s="9" t="s">
        <v>49</v>
      </c>
      <c r="D8" s="9" t="s">
        <v>47</v>
      </c>
      <c r="E8" s="9" t="s">
        <v>67</v>
      </c>
      <c r="F8" s="9" t="s">
        <v>53</v>
      </c>
      <c r="G8" s="9" t="s">
        <v>48</v>
      </c>
      <c r="H8" s="5" t="s">
        <v>2</v>
      </c>
      <c r="I8" s="5" t="s">
        <v>36</v>
      </c>
      <c r="J8" s="9" t="s">
        <v>9</v>
      </c>
      <c r="K8" s="5" t="s">
        <v>4</v>
      </c>
      <c r="L8" s="39" t="s">
        <v>2</v>
      </c>
      <c r="M8" s="40" t="s">
        <v>35</v>
      </c>
      <c r="N8" s="9" t="s">
        <v>38</v>
      </c>
      <c r="O8" s="46"/>
    </row>
    <row r="9" spans="1:21" ht="15" customHeight="1" x14ac:dyDescent="0.35">
      <c r="A9" s="4"/>
      <c r="B9" s="41"/>
      <c r="C9" s="10">
        <v>46176</v>
      </c>
      <c r="D9" s="10">
        <v>46177</v>
      </c>
      <c r="E9" s="10">
        <v>46178</v>
      </c>
      <c r="F9" s="10">
        <v>46181</v>
      </c>
      <c r="G9" s="10">
        <v>46182</v>
      </c>
      <c r="H9" s="4" t="s">
        <v>68</v>
      </c>
      <c r="I9" s="4" t="s">
        <v>4</v>
      </c>
      <c r="J9" s="4" t="s">
        <v>4</v>
      </c>
      <c r="K9" s="4" t="s">
        <v>19</v>
      </c>
      <c r="L9" s="41" t="s">
        <v>70</v>
      </c>
      <c r="M9" s="42"/>
      <c r="N9" s="4" t="s">
        <v>20</v>
      </c>
      <c r="O9" s="46"/>
      <c r="Q9" s="50"/>
      <c r="R9" s="50"/>
    </row>
    <row r="10" spans="1:21" x14ac:dyDescent="0.35">
      <c r="A10" s="20"/>
      <c r="B10" s="48"/>
      <c r="C10" s="47"/>
      <c r="D10" s="47"/>
      <c r="E10" s="47"/>
      <c r="F10" s="47"/>
      <c r="G10" s="47"/>
      <c r="H10" s="44"/>
      <c r="I10" s="20"/>
      <c r="J10" s="20"/>
      <c r="K10" s="35">
        <f>$H$4/20</f>
        <v>0.05</v>
      </c>
      <c r="L10" s="45"/>
      <c r="M10" s="43"/>
      <c r="N10" s="20"/>
      <c r="O10" s="46"/>
      <c r="Q10" s="34"/>
      <c r="R10" s="50"/>
    </row>
    <row r="11" spans="1:21" x14ac:dyDescent="0.35">
      <c r="A11" s="20" t="s">
        <v>23</v>
      </c>
      <c r="B11" s="44">
        <v>0</v>
      </c>
      <c r="C11" s="44">
        <v>682</v>
      </c>
      <c r="D11" s="44"/>
      <c r="E11" s="44"/>
      <c r="F11" s="44"/>
      <c r="G11" s="44"/>
      <c r="H11" s="44">
        <f>SUM(B11:G11)</f>
        <v>682</v>
      </c>
      <c r="I11" s="20">
        <v>11000</v>
      </c>
      <c r="J11" s="21">
        <f t="shared" ref="J11:J20" si="0">H11-I11</f>
        <v>-10318</v>
      </c>
      <c r="K11" s="22">
        <f t="shared" ref="K11:K20" si="1">H11/$D$5</f>
        <v>6.2E-2</v>
      </c>
      <c r="L11" s="48">
        <v>338</v>
      </c>
      <c r="M11" s="51">
        <f>H11-L11</f>
        <v>344</v>
      </c>
      <c r="N11" s="21">
        <f>+H11-$D$5</f>
        <v>-10318</v>
      </c>
      <c r="O11" s="1">
        <f t="shared" ref="O11:O20" si="2">SUM(B11:G11)</f>
        <v>682</v>
      </c>
      <c r="P11" s="1">
        <f t="shared" ref="P11:P20" si="3">H11-O11</f>
        <v>0</v>
      </c>
      <c r="Q11" s="34"/>
      <c r="R11" s="50"/>
    </row>
    <row r="12" spans="1:21" x14ac:dyDescent="0.35">
      <c r="A12" s="20" t="s">
        <v>24</v>
      </c>
      <c r="B12" s="44">
        <v>0</v>
      </c>
      <c r="C12" s="44">
        <v>908</v>
      </c>
      <c r="D12" s="44"/>
      <c r="E12" s="44"/>
      <c r="F12" s="44"/>
      <c r="G12" s="44"/>
      <c r="H12" s="44">
        <f t="shared" ref="H12:H18" si="4">SUM(B12:G12)</f>
        <v>908</v>
      </c>
      <c r="I12" s="20">
        <v>11000</v>
      </c>
      <c r="J12" s="21">
        <f t="shared" si="0"/>
        <v>-10092</v>
      </c>
      <c r="K12" s="22">
        <f t="shared" si="1"/>
        <v>8.2545454545454547E-2</v>
      </c>
      <c r="L12" s="48">
        <v>37</v>
      </c>
      <c r="M12" s="51">
        <f t="shared" ref="M12:M20" si="5">H12-L12</f>
        <v>871</v>
      </c>
      <c r="N12" s="21">
        <f t="shared" ref="N12:N20" si="6">+H12-$D$5</f>
        <v>-10092</v>
      </c>
      <c r="O12" s="1">
        <f t="shared" si="2"/>
        <v>908</v>
      </c>
      <c r="P12" s="1">
        <f t="shared" si="3"/>
        <v>0</v>
      </c>
      <c r="Q12" s="34"/>
      <c r="R12" s="50"/>
    </row>
    <row r="13" spans="1:21" x14ac:dyDescent="0.35">
      <c r="A13" s="20" t="s">
        <v>25</v>
      </c>
      <c r="B13" s="44">
        <v>0</v>
      </c>
      <c r="C13" s="44">
        <v>882</v>
      </c>
      <c r="D13" s="66"/>
      <c r="E13" s="44"/>
      <c r="F13" s="44"/>
      <c r="G13" s="44"/>
      <c r="H13" s="44">
        <f t="shared" si="4"/>
        <v>882</v>
      </c>
      <c r="I13" s="20">
        <v>11000</v>
      </c>
      <c r="J13" s="21">
        <f t="shared" si="0"/>
        <v>-10118</v>
      </c>
      <c r="K13" s="22">
        <f t="shared" si="1"/>
        <v>8.0181818181818187E-2</v>
      </c>
      <c r="L13" s="48">
        <v>161</v>
      </c>
      <c r="M13" s="51">
        <f t="shared" si="5"/>
        <v>721</v>
      </c>
      <c r="N13" s="21">
        <f t="shared" si="6"/>
        <v>-10118</v>
      </c>
      <c r="O13" s="1">
        <f t="shared" si="2"/>
        <v>882</v>
      </c>
      <c r="P13" s="1">
        <f t="shared" si="3"/>
        <v>0</v>
      </c>
      <c r="Q13" s="34"/>
      <c r="R13" s="50"/>
    </row>
    <row r="14" spans="1:21" x14ac:dyDescent="0.35">
      <c r="A14" s="20" t="s">
        <v>26</v>
      </c>
      <c r="B14" s="44">
        <v>0</v>
      </c>
      <c r="C14" s="44">
        <v>524</v>
      </c>
      <c r="D14" s="44"/>
      <c r="E14" s="44"/>
      <c r="F14" s="44"/>
      <c r="G14" s="44"/>
      <c r="H14" s="44">
        <f t="shared" si="4"/>
        <v>524</v>
      </c>
      <c r="I14" s="20">
        <v>11000</v>
      </c>
      <c r="J14" s="21">
        <f t="shared" si="0"/>
        <v>-10476</v>
      </c>
      <c r="K14" s="22">
        <f t="shared" si="1"/>
        <v>4.7636363636363636E-2</v>
      </c>
      <c r="L14" s="48">
        <v>411</v>
      </c>
      <c r="M14" s="51">
        <f t="shared" si="5"/>
        <v>113</v>
      </c>
      <c r="N14" s="21">
        <f t="shared" si="6"/>
        <v>-10476</v>
      </c>
      <c r="O14" s="1">
        <f t="shared" si="2"/>
        <v>524</v>
      </c>
      <c r="P14" s="1">
        <f t="shared" si="3"/>
        <v>0</v>
      </c>
      <c r="Q14" s="34"/>
      <c r="R14" s="50"/>
    </row>
    <row r="15" spans="1:21" x14ac:dyDescent="0.35">
      <c r="A15" s="20" t="s">
        <v>6</v>
      </c>
      <c r="B15" s="44">
        <v>0</v>
      </c>
      <c r="C15" s="44">
        <v>279</v>
      </c>
      <c r="D15" s="44"/>
      <c r="E15" s="44"/>
      <c r="F15" s="44"/>
      <c r="G15" s="44"/>
      <c r="H15" s="44">
        <f t="shared" si="4"/>
        <v>279</v>
      </c>
      <c r="I15" s="20">
        <v>11000</v>
      </c>
      <c r="J15" s="21">
        <f t="shared" si="0"/>
        <v>-10721</v>
      </c>
      <c r="K15" s="22">
        <f t="shared" si="1"/>
        <v>2.5363636363636363E-2</v>
      </c>
      <c r="L15" s="48">
        <v>448</v>
      </c>
      <c r="M15" s="51">
        <f t="shared" si="5"/>
        <v>-169</v>
      </c>
      <c r="N15" s="21">
        <f t="shared" si="6"/>
        <v>-10721</v>
      </c>
      <c r="O15" s="1">
        <f t="shared" si="2"/>
        <v>279</v>
      </c>
      <c r="P15" s="1">
        <f t="shared" si="3"/>
        <v>0</v>
      </c>
      <c r="Q15" s="1" t="s">
        <v>61</v>
      </c>
    </row>
    <row r="16" spans="1:21" x14ac:dyDescent="0.35">
      <c r="A16" s="20" t="s">
        <v>31</v>
      </c>
      <c r="B16" s="44">
        <v>0</v>
      </c>
      <c r="C16" s="44">
        <v>271</v>
      </c>
      <c r="D16" s="44"/>
      <c r="E16" s="44"/>
      <c r="F16" s="44"/>
      <c r="G16" s="44"/>
      <c r="H16" s="44">
        <f t="shared" si="4"/>
        <v>271</v>
      </c>
      <c r="I16" s="20">
        <v>11000</v>
      </c>
      <c r="J16" s="21">
        <f t="shared" si="0"/>
        <v>-10729</v>
      </c>
      <c r="K16" s="22">
        <f t="shared" si="1"/>
        <v>2.4636363636363637E-2</v>
      </c>
      <c r="L16" s="48">
        <v>341</v>
      </c>
      <c r="M16" s="51">
        <f t="shared" si="5"/>
        <v>-70</v>
      </c>
      <c r="N16" s="21">
        <f t="shared" si="6"/>
        <v>-10729</v>
      </c>
      <c r="O16" s="1">
        <f t="shared" si="2"/>
        <v>271</v>
      </c>
      <c r="P16" s="1">
        <f t="shared" si="3"/>
        <v>0</v>
      </c>
      <c r="Q16" s="53" t="s">
        <v>60</v>
      </c>
      <c r="R16" s="53" t="s">
        <v>2</v>
      </c>
      <c r="S16" s="53" t="s">
        <v>54</v>
      </c>
      <c r="T16" s="53" t="s">
        <v>38</v>
      </c>
      <c r="U16" s="53" t="s">
        <v>4</v>
      </c>
    </row>
    <row r="17" spans="1:21" x14ac:dyDescent="0.35">
      <c r="A17" s="20" t="s">
        <v>27</v>
      </c>
      <c r="B17" s="44">
        <v>0</v>
      </c>
      <c r="C17" s="44">
        <v>441</v>
      </c>
      <c r="D17" s="44"/>
      <c r="E17" s="44"/>
      <c r="F17" s="44"/>
      <c r="G17" s="44"/>
      <c r="H17" s="44">
        <f t="shared" si="4"/>
        <v>441</v>
      </c>
      <c r="I17" s="20">
        <v>11000</v>
      </c>
      <c r="J17" s="21">
        <f t="shared" si="0"/>
        <v>-10559</v>
      </c>
      <c r="K17" s="22">
        <f t="shared" si="1"/>
        <v>4.0090909090909094E-2</v>
      </c>
      <c r="L17" s="48">
        <v>138</v>
      </c>
      <c r="M17" s="51">
        <f t="shared" si="5"/>
        <v>303</v>
      </c>
      <c r="N17" s="21">
        <f t="shared" si="6"/>
        <v>-10559</v>
      </c>
      <c r="O17" s="1">
        <f t="shared" si="2"/>
        <v>441</v>
      </c>
      <c r="P17" s="1">
        <f t="shared" si="3"/>
        <v>0</v>
      </c>
      <c r="Q17" s="52" t="s">
        <v>55</v>
      </c>
      <c r="R17" s="20">
        <f>H11</f>
        <v>682</v>
      </c>
      <c r="S17" s="52">
        <v>8250</v>
      </c>
      <c r="T17" s="52">
        <f>S17-R17</f>
        <v>7568</v>
      </c>
      <c r="U17" s="52">
        <v>11000</v>
      </c>
    </row>
    <row r="18" spans="1:21" x14ac:dyDescent="0.35">
      <c r="A18" s="20" t="s">
        <v>28</v>
      </c>
      <c r="B18" s="44">
        <v>0</v>
      </c>
      <c r="C18" s="44">
        <v>206</v>
      </c>
      <c r="D18" s="44"/>
      <c r="E18" s="44"/>
      <c r="F18" s="44"/>
      <c r="G18" s="44"/>
      <c r="H18" s="44">
        <f t="shared" si="4"/>
        <v>206</v>
      </c>
      <c r="I18" s="20">
        <v>11000</v>
      </c>
      <c r="J18" s="21">
        <f t="shared" si="0"/>
        <v>-10794</v>
      </c>
      <c r="K18" s="22">
        <f t="shared" si="1"/>
        <v>1.8727272727272728E-2</v>
      </c>
      <c r="L18" s="48">
        <v>103</v>
      </c>
      <c r="M18" s="51">
        <f t="shared" si="5"/>
        <v>103</v>
      </c>
      <c r="N18" s="21">
        <f t="shared" si="6"/>
        <v>-10794</v>
      </c>
      <c r="O18" s="1">
        <f t="shared" si="2"/>
        <v>206</v>
      </c>
      <c r="P18" s="1">
        <f t="shared" si="3"/>
        <v>0</v>
      </c>
      <c r="Q18" s="52" t="s">
        <v>56</v>
      </c>
      <c r="R18" s="20">
        <f>H12</f>
        <v>908</v>
      </c>
      <c r="S18" s="52">
        <v>8250</v>
      </c>
      <c r="T18" s="52">
        <f>S18-R18</f>
        <v>7342</v>
      </c>
      <c r="U18" s="52">
        <v>11000</v>
      </c>
    </row>
    <row r="19" spans="1:21" x14ac:dyDescent="0.35">
      <c r="A19" s="20" t="s">
        <v>29</v>
      </c>
      <c r="B19" s="44">
        <v>0</v>
      </c>
      <c r="C19" s="44">
        <v>1234</v>
      </c>
      <c r="D19" s="44"/>
      <c r="E19" s="44"/>
      <c r="F19" s="44"/>
      <c r="G19" s="44"/>
      <c r="H19" s="44">
        <v>1234</v>
      </c>
      <c r="I19" s="20">
        <v>11000</v>
      </c>
      <c r="J19" s="21">
        <f t="shared" si="0"/>
        <v>-9766</v>
      </c>
      <c r="K19" s="22">
        <f t="shared" si="1"/>
        <v>0.11218181818181819</v>
      </c>
      <c r="L19" s="48">
        <v>719</v>
      </c>
      <c r="M19" s="51">
        <f t="shared" si="5"/>
        <v>515</v>
      </c>
      <c r="N19" s="21">
        <f t="shared" si="6"/>
        <v>-9766</v>
      </c>
      <c r="O19" s="1">
        <f t="shared" si="2"/>
        <v>1234</v>
      </c>
      <c r="P19" s="1">
        <f t="shared" si="3"/>
        <v>0</v>
      </c>
      <c r="Q19" s="52" t="s">
        <v>1</v>
      </c>
      <c r="R19" s="20">
        <f>H19</f>
        <v>1234</v>
      </c>
      <c r="S19" s="52">
        <v>8250</v>
      </c>
      <c r="T19" s="52">
        <f t="shared" ref="T19:T20" si="7">S19-R19</f>
        <v>7016</v>
      </c>
      <c r="U19" s="52">
        <v>11000</v>
      </c>
    </row>
    <row r="20" spans="1:21" x14ac:dyDescent="0.35">
      <c r="A20" s="20" t="s">
        <v>30</v>
      </c>
      <c r="B20" s="44">
        <v>0</v>
      </c>
      <c r="C20" s="44">
        <v>727</v>
      </c>
      <c r="D20" s="44"/>
      <c r="E20" s="44"/>
      <c r="F20" s="44"/>
      <c r="G20" s="44"/>
      <c r="H20" s="44">
        <f>61+666</f>
        <v>727</v>
      </c>
      <c r="I20" s="20">
        <v>11000</v>
      </c>
      <c r="J20" s="21">
        <f t="shared" si="0"/>
        <v>-10273</v>
      </c>
      <c r="K20" s="22">
        <f t="shared" si="1"/>
        <v>6.6090909090909089E-2</v>
      </c>
      <c r="L20" s="48">
        <v>276</v>
      </c>
      <c r="M20" s="51">
        <f t="shared" si="5"/>
        <v>451</v>
      </c>
      <c r="N20" s="21">
        <f t="shared" si="6"/>
        <v>-10273</v>
      </c>
      <c r="O20" s="1">
        <f t="shared" si="2"/>
        <v>727</v>
      </c>
      <c r="P20" s="1">
        <f t="shared" si="3"/>
        <v>0</v>
      </c>
      <c r="Q20" s="52" t="s">
        <v>57</v>
      </c>
      <c r="R20" s="20">
        <f>H20+459</f>
        <v>1186</v>
      </c>
      <c r="S20" s="52">
        <v>8250</v>
      </c>
      <c r="T20" s="52">
        <f t="shared" si="7"/>
        <v>7064</v>
      </c>
      <c r="U20" s="52">
        <v>11000</v>
      </c>
    </row>
    <row r="21" spans="1:21" x14ac:dyDescent="0.35">
      <c r="D21" s="32"/>
      <c r="E21" s="32"/>
    </row>
    <row r="23" spans="1:21" x14ac:dyDescent="0.35">
      <c r="D23" s="33"/>
      <c r="E23" s="33"/>
    </row>
    <row r="24" spans="1:21" x14ac:dyDescent="0.35">
      <c r="D24" s="34"/>
      <c r="E24" s="34"/>
    </row>
    <row r="25" spans="1:21" x14ac:dyDescent="0.35">
      <c r="D25" s="34"/>
      <c r="E25" s="34"/>
    </row>
    <row r="26" spans="1:21" x14ac:dyDescent="0.35">
      <c r="D26" s="33"/>
      <c r="E26" s="33"/>
    </row>
    <row r="27" spans="1:21" x14ac:dyDescent="0.35">
      <c r="D27" s="34"/>
      <c r="H27" s="60"/>
      <c r="I27" s="54" t="s">
        <v>36</v>
      </c>
      <c r="J27" s="32" t="s">
        <v>71</v>
      </c>
      <c r="K27" s="55">
        <v>46176</v>
      </c>
      <c r="L27" s="32"/>
      <c r="M27" s="32"/>
    </row>
    <row r="28" spans="1:21" x14ac:dyDescent="0.35">
      <c r="D28" s="34"/>
      <c r="H28" s="60"/>
      <c r="I28" s="56" t="s">
        <v>46</v>
      </c>
      <c r="J28" s="53" t="s">
        <v>45</v>
      </c>
      <c r="K28" s="53" t="s">
        <v>42</v>
      </c>
      <c r="L28" s="53" t="s">
        <v>43</v>
      </c>
      <c r="M28" s="53" t="s">
        <v>44</v>
      </c>
      <c r="N28" s="51" t="s">
        <v>58</v>
      </c>
      <c r="O28" s="72" t="s">
        <v>2</v>
      </c>
      <c r="P28" s="76" t="s">
        <v>38</v>
      </c>
      <c r="Q28" s="69" t="s">
        <v>72</v>
      </c>
      <c r="R28" s="46"/>
    </row>
    <row r="29" spans="1:21" x14ac:dyDescent="0.35">
      <c r="D29" s="33"/>
      <c r="E29" s="33"/>
      <c r="F29" s="46"/>
      <c r="H29" s="60"/>
      <c r="I29" s="62">
        <v>11000</v>
      </c>
      <c r="J29" s="63" t="s">
        <v>23</v>
      </c>
      <c r="K29" s="53">
        <f>I29/20</f>
        <v>550</v>
      </c>
      <c r="L29" s="77"/>
      <c r="M29" s="63">
        <f>L29-K29</f>
        <v>-550</v>
      </c>
      <c r="N29" s="51">
        <v>2750</v>
      </c>
      <c r="O29" s="72">
        <f>H11</f>
        <v>682</v>
      </c>
      <c r="P29" s="78">
        <f>N29-O29</f>
        <v>2068</v>
      </c>
      <c r="Q29" s="69">
        <f>P29/5</f>
        <v>413.6</v>
      </c>
      <c r="R29" s="46"/>
    </row>
    <row r="30" spans="1:21" x14ac:dyDescent="0.35">
      <c r="D30" s="34"/>
      <c r="E30" s="49"/>
      <c r="F30" s="46"/>
      <c r="H30" s="60"/>
      <c r="I30" s="67">
        <v>11000</v>
      </c>
      <c r="J30" s="53" t="s">
        <v>24</v>
      </c>
      <c r="K30" s="53">
        <f>I30/20</f>
        <v>550</v>
      </c>
      <c r="L30" s="69"/>
      <c r="M30" s="53">
        <f>L30-K30</f>
        <v>-550</v>
      </c>
      <c r="N30" s="51">
        <v>2750</v>
      </c>
      <c r="O30" s="72">
        <f>H12</f>
        <v>908</v>
      </c>
      <c r="P30" s="78">
        <f>N30-O30</f>
        <v>1842</v>
      </c>
      <c r="Q30" s="69">
        <f>P30/5</f>
        <v>368.4</v>
      </c>
      <c r="R30" s="46"/>
    </row>
    <row r="31" spans="1:21" x14ac:dyDescent="0.35">
      <c r="B31" s="19"/>
      <c r="C31" s="19"/>
      <c r="D31" s="50"/>
      <c r="E31" s="50"/>
      <c r="F31" s="46"/>
      <c r="H31" s="60"/>
      <c r="I31" s="50"/>
      <c r="J31" s="50"/>
      <c r="K31" s="34"/>
      <c r="L31" s="50"/>
      <c r="M31" s="57"/>
      <c r="N31" s="59"/>
      <c r="O31" s="79"/>
      <c r="P31" s="80"/>
      <c r="Q31" s="81"/>
      <c r="R31" s="46"/>
    </row>
    <row r="32" spans="1:21" x14ac:dyDescent="0.35">
      <c r="B32" s="19"/>
      <c r="C32" s="19"/>
      <c r="D32" s="50"/>
      <c r="E32" s="50"/>
      <c r="F32" s="46"/>
      <c r="H32" s="60"/>
      <c r="I32" s="70" t="s">
        <v>36</v>
      </c>
      <c r="J32" s="34" t="s">
        <v>71</v>
      </c>
      <c r="K32" s="55">
        <v>46176</v>
      </c>
      <c r="L32" s="34"/>
      <c r="M32" s="34"/>
      <c r="N32" s="71"/>
      <c r="O32" s="79"/>
      <c r="P32" s="80"/>
      <c r="Q32" s="81"/>
      <c r="R32" s="46"/>
    </row>
    <row r="33" spans="2:23" x14ac:dyDescent="0.35">
      <c r="B33" s="19"/>
      <c r="C33" s="19"/>
      <c r="D33" s="50"/>
      <c r="E33" s="50"/>
      <c r="F33" s="46"/>
      <c r="H33" s="60"/>
      <c r="I33" s="56" t="s">
        <v>46</v>
      </c>
      <c r="J33" s="53" t="s">
        <v>45</v>
      </c>
      <c r="K33" s="53" t="s">
        <v>42</v>
      </c>
      <c r="L33" s="53" t="s">
        <v>43</v>
      </c>
      <c r="M33" s="53" t="s">
        <v>44</v>
      </c>
      <c r="N33" s="51" t="s">
        <v>58</v>
      </c>
      <c r="O33" s="72" t="s">
        <v>2</v>
      </c>
      <c r="P33" s="76" t="s">
        <v>38</v>
      </c>
      <c r="Q33" s="69" t="s">
        <v>72</v>
      </c>
      <c r="R33" s="46"/>
    </row>
    <row r="34" spans="2:23" x14ac:dyDescent="0.35">
      <c r="E34" s="46"/>
      <c r="F34" s="46"/>
      <c r="H34" s="60"/>
      <c r="I34" s="67">
        <v>11000</v>
      </c>
      <c r="J34" s="68" t="s">
        <v>29</v>
      </c>
      <c r="K34" s="53">
        <f>I34/20</f>
        <v>550</v>
      </c>
      <c r="L34" s="69"/>
      <c r="M34" s="53">
        <f>L34-K34</f>
        <v>-550</v>
      </c>
      <c r="N34" s="51">
        <v>2750</v>
      </c>
      <c r="O34" s="72">
        <f>H19</f>
        <v>1234</v>
      </c>
      <c r="P34" s="82">
        <f>N34-O34</f>
        <v>1516</v>
      </c>
      <c r="Q34" s="83">
        <f>P34/5</f>
        <v>303.2</v>
      </c>
      <c r="R34" s="46"/>
    </row>
    <row r="35" spans="2:23" x14ac:dyDescent="0.35">
      <c r="F35" s="46"/>
      <c r="H35" s="60"/>
      <c r="I35" s="67">
        <v>11000</v>
      </c>
      <c r="J35" s="68" t="s">
        <v>30</v>
      </c>
      <c r="K35" s="53">
        <f>I35/20</f>
        <v>550</v>
      </c>
      <c r="L35" s="69"/>
      <c r="M35" s="53">
        <f>L35-K35</f>
        <v>-550</v>
      </c>
      <c r="N35" s="51">
        <v>2750</v>
      </c>
      <c r="O35" s="72">
        <f>H20</f>
        <v>727</v>
      </c>
      <c r="P35" s="82">
        <f>N35-O35</f>
        <v>2023</v>
      </c>
      <c r="Q35" s="83">
        <f>P35/5</f>
        <v>404.6</v>
      </c>
      <c r="R35" s="46"/>
    </row>
    <row r="36" spans="2:23" x14ac:dyDescent="0.35">
      <c r="F36" s="46"/>
      <c r="H36" s="60"/>
      <c r="I36" s="46"/>
      <c r="J36" s="46"/>
      <c r="K36" s="46"/>
      <c r="N36" s="59"/>
      <c r="O36" s="59"/>
      <c r="P36" s="80"/>
      <c r="Q36" s="84"/>
      <c r="R36" s="46"/>
    </row>
    <row r="37" spans="2:23" x14ac:dyDescent="0.35">
      <c r="H37" s="60"/>
      <c r="I37" s="46"/>
      <c r="J37" s="46"/>
      <c r="K37" s="46"/>
      <c r="N37" s="59"/>
      <c r="O37" s="59"/>
      <c r="P37" s="80"/>
      <c r="Q37" s="84"/>
      <c r="R37" s="46"/>
    </row>
    <row r="38" spans="2:23" x14ac:dyDescent="0.35">
      <c r="F38" s="46"/>
      <c r="H38" s="60"/>
      <c r="I38" s="54" t="s">
        <v>36</v>
      </c>
      <c r="J38" s="32" t="s">
        <v>71</v>
      </c>
      <c r="K38" s="55">
        <v>46176</v>
      </c>
      <c r="L38" s="32"/>
      <c r="M38" s="32"/>
      <c r="N38" s="59"/>
      <c r="O38" s="59"/>
      <c r="P38" s="80"/>
      <c r="Q38" s="84"/>
      <c r="R38" s="50"/>
      <c r="S38" s="1" t="s">
        <v>69</v>
      </c>
      <c r="T38" s="85">
        <v>46176</v>
      </c>
      <c r="U38" s="1" t="s">
        <v>62</v>
      </c>
    </row>
    <row r="39" spans="2:23" x14ac:dyDescent="0.35">
      <c r="F39" s="46"/>
      <c r="H39" s="60"/>
      <c r="I39" s="56" t="s">
        <v>46</v>
      </c>
      <c r="J39" s="53" t="s">
        <v>45</v>
      </c>
      <c r="K39" s="53" t="s">
        <v>42</v>
      </c>
      <c r="L39" s="53" t="s">
        <v>43</v>
      </c>
      <c r="M39" s="53" t="s">
        <v>44</v>
      </c>
      <c r="N39" s="51" t="s">
        <v>58</v>
      </c>
      <c r="O39" s="72" t="s">
        <v>2</v>
      </c>
      <c r="P39" s="76" t="s">
        <v>38</v>
      </c>
      <c r="Q39" s="69" t="s">
        <v>72</v>
      </c>
      <c r="S39" s="53" t="s">
        <v>45</v>
      </c>
      <c r="T39" s="52" t="s">
        <v>38</v>
      </c>
      <c r="U39" s="52" t="s">
        <v>59</v>
      </c>
      <c r="V39" s="86" t="s">
        <v>43</v>
      </c>
      <c r="W39" s="87" t="s">
        <v>38</v>
      </c>
    </row>
    <row r="40" spans="2:23" x14ac:dyDescent="0.35">
      <c r="H40" s="50"/>
      <c r="I40" s="62">
        <v>11000</v>
      </c>
      <c r="J40" s="63" t="s">
        <v>25</v>
      </c>
      <c r="K40" s="53">
        <f>I40/20</f>
        <v>550</v>
      </c>
      <c r="L40" s="69"/>
      <c r="M40" s="53">
        <f>L40-K40</f>
        <v>-550</v>
      </c>
      <c r="N40" s="51">
        <v>2750</v>
      </c>
      <c r="O40" s="72">
        <f t="shared" ref="O40:O45" si="8">H13</f>
        <v>882</v>
      </c>
      <c r="P40" s="78">
        <f>N40-O40</f>
        <v>1868</v>
      </c>
      <c r="Q40" s="88">
        <f>P40/5</f>
        <v>373.6</v>
      </c>
      <c r="R40" s="65"/>
      <c r="S40" s="63" t="s">
        <v>25</v>
      </c>
      <c r="T40" s="52">
        <f>P40</f>
        <v>1868</v>
      </c>
      <c r="U40" s="89">
        <f>T40/5</f>
        <v>373.6</v>
      </c>
      <c r="V40" s="91">
        <v>121</v>
      </c>
      <c r="W40" s="69">
        <f>U40-V40</f>
        <v>252.60000000000002</v>
      </c>
    </row>
    <row r="41" spans="2:23" x14ac:dyDescent="0.35">
      <c r="H41" s="60"/>
      <c r="I41" s="62">
        <v>11000</v>
      </c>
      <c r="J41" s="63" t="s">
        <v>26</v>
      </c>
      <c r="K41" s="53">
        <f t="shared" ref="K41:K45" si="9">I41/20</f>
        <v>550</v>
      </c>
      <c r="L41" s="69"/>
      <c r="M41" s="53">
        <f t="shared" ref="M41:M45" si="10">L41-K41</f>
        <v>-550</v>
      </c>
      <c r="N41" s="51">
        <v>2750</v>
      </c>
      <c r="O41" s="72">
        <f t="shared" si="8"/>
        <v>524</v>
      </c>
      <c r="P41" s="78">
        <f t="shared" ref="P41:P45" si="11">N41-O41</f>
        <v>2226</v>
      </c>
      <c r="Q41" s="88">
        <f t="shared" ref="Q41:Q45" si="12">P41/5</f>
        <v>445.2</v>
      </c>
      <c r="R41" s="65"/>
      <c r="S41" s="63" t="s">
        <v>26</v>
      </c>
      <c r="T41" s="52">
        <f t="shared" ref="T41:T45" si="13">P41</f>
        <v>2226</v>
      </c>
      <c r="U41" s="89">
        <f t="shared" ref="U41:U45" si="14">T41/5</f>
        <v>445.2</v>
      </c>
      <c r="V41" s="91">
        <v>193</v>
      </c>
      <c r="W41" s="69">
        <f t="shared" ref="W41:W45" si="15">U41-V41</f>
        <v>252.2</v>
      </c>
    </row>
    <row r="42" spans="2:23" x14ac:dyDescent="0.35">
      <c r="H42" s="60"/>
      <c r="I42" s="62">
        <v>11000</v>
      </c>
      <c r="J42" s="53" t="s">
        <v>6</v>
      </c>
      <c r="K42" s="53">
        <f t="shared" si="9"/>
        <v>550</v>
      </c>
      <c r="L42" s="90"/>
      <c r="M42" s="53">
        <f t="shared" si="10"/>
        <v>-550</v>
      </c>
      <c r="N42" s="51">
        <v>2750</v>
      </c>
      <c r="O42" s="72">
        <f t="shared" si="8"/>
        <v>279</v>
      </c>
      <c r="P42" s="78">
        <f t="shared" si="11"/>
        <v>2471</v>
      </c>
      <c r="Q42" s="88">
        <f t="shared" si="12"/>
        <v>494.2</v>
      </c>
      <c r="R42" s="65"/>
      <c r="S42" s="53" t="s">
        <v>6</v>
      </c>
      <c r="T42" s="52">
        <f t="shared" si="13"/>
        <v>2471</v>
      </c>
      <c r="U42" s="89">
        <f t="shared" si="14"/>
        <v>494.2</v>
      </c>
      <c r="V42" s="91">
        <v>100</v>
      </c>
      <c r="W42" s="69">
        <f t="shared" si="15"/>
        <v>394.2</v>
      </c>
    </row>
    <row r="43" spans="2:23" x14ac:dyDescent="0.35">
      <c r="H43" s="60"/>
      <c r="I43" s="62">
        <v>11000</v>
      </c>
      <c r="J43" s="53" t="s">
        <v>31</v>
      </c>
      <c r="K43" s="53">
        <f t="shared" si="9"/>
        <v>550</v>
      </c>
      <c r="L43" s="90"/>
      <c r="M43" s="53">
        <f t="shared" si="10"/>
        <v>-550</v>
      </c>
      <c r="N43" s="51">
        <v>2750</v>
      </c>
      <c r="O43" s="72">
        <f t="shared" si="8"/>
        <v>271</v>
      </c>
      <c r="P43" s="78">
        <f t="shared" si="11"/>
        <v>2479</v>
      </c>
      <c r="Q43" s="88">
        <f t="shared" si="12"/>
        <v>495.8</v>
      </c>
      <c r="R43" s="65"/>
      <c r="S43" s="53" t="s">
        <v>31</v>
      </c>
      <c r="T43" s="52">
        <f t="shared" si="13"/>
        <v>2479</v>
      </c>
      <c r="U43" s="89">
        <f t="shared" si="14"/>
        <v>495.8</v>
      </c>
      <c r="V43" s="91">
        <v>137</v>
      </c>
      <c r="W43" s="69">
        <f t="shared" si="15"/>
        <v>358.8</v>
      </c>
    </row>
    <row r="44" spans="2:23" x14ac:dyDescent="0.35">
      <c r="H44" s="60"/>
      <c r="I44" s="62">
        <v>11000</v>
      </c>
      <c r="J44" s="53" t="s">
        <v>27</v>
      </c>
      <c r="K44" s="53">
        <f t="shared" si="9"/>
        <v>550</v>
      </c>
      <c r="L44" s="90"/>
      <c r="M44" s="53">
        <f t="shared" si="10"/>
        <v>-550</v>
      </c>
      <c r="N44" s="51">
        <v>2750</v>
      </c>
      <c r="O44" s="72">
        <f t="shared" si="8"/>
        <v>441</v>
      </c>
      <c r="P44" s="78">
        <f t="shared" si="11"/>
        <v>2309</v>
      </c>
      <c r="Q44" s="88">
        <f t="shared" si="12"/>
        <v>461.8</v>
      </c>
      <c r="R44" s="65"/>
      <c r="S44" s="53" t="s">
        <v>27</v>
      </c>
      <c r="T44" s="52">
        <f t="shared" si="13"/>
        <v>2309</v>
      </c>
      <c r="U44" s="89">
        <f t="shared" si="14"/>
        <v>461.8</v>
      </c>
      <c r="V44" s="91">
        <v>321</v>
      </c>
      <c r="W44" s="69">
        <f t="shared" si="15"/>
        <v>140.80000000000001</v>
      </c>
    </row>
    <row r="45" spans="2:23" x14ac:dyDescent="0.35">
      <c r="H45" s="60"/>
      <c r="I45" s="62">
        <v>11000</v>
      </c>
      <c r="J45" s="53" t="s">
        <v>28</v>
      </c>
      <c r="K45" s="53">
        <f t="shared" si="9"/>
        <v>550</v>
      </c>
      <c r="L45" s="90"/>
      <c r="M45" s="53">
        <f t="shared" si="10"/>
        <v>-550</v>
      </c>
      <c r="N45" s="51">
        <v>2750</v>
      </c>
      <c r="O45" s="72">
        <f t="shared" si="8"/>
        <v>206</v>
      </c>
      <c r="P45" s="78">
        <f t="shared" si="11"/>
        <v>2544</v>
      </c>
      <c r="Q45" s="88">
        <f t="shared" si="12"/>
        <v>508.8</v>
      </c>
      <c r="R45" s="65"/>
      <c r="S45" s="53" t="s">
        <v>28</v>
      </c>
      <c r="T45" s="52">
        <f t="shared" si="13"/>
        <v>2544</v>
      </c>
      <c r="U45" s="89">
        <f t="shared" si="14"/>
        <v>508.8</v>
      </c>
      <c r="V45" s="91">
        <v>62</v>
      </c>
      <c r="W45" s="69">
        <f t="shared" si="15"/>
        <v>446.8</v>
      </c>
    </row>
    <row r="46" spans="2:23" x14ac:dyDescent="0.35">
      <c r="L46" s="61"/>
      <c r="Q46" s="17"/>
      <c r="R46" s="17"/>
      <c r="S46" s="17"/>
      <c r="T46" s="17"/>
      <c r="U46" s="73"/>
    </row>
    <row r="47" spans="2:23" x14ac:dyDescent="0.35">
      <c r="Q47" s="19"/>
      <c r="R47" s="19"/>
      <c r="S47" s="19"/>
      <c r="T47" s="74"/>
      <c r="U47" s="19"/>
    </row>
    <row r="48" spans="2:23" x14ac:dyDescent="0.35">
      <c r="Q48" s="19"/>
      <c r="R48" s="19"/>
      <c r="S48" s="19"/>
      <c r="T48" s="75"/>
      <c r="U48" s="19"/>
    </row>
    <row r="49" spans="14:21" x14ac:dyDescent="0.35">
      <c r="Q49" s="19"/>
      <c r="R49" s="19"/>
      <c r="S49" s="19"/>
      <c r="T49" s="75"/>
      <c r="U49" s="19"/>
    </row>
    <row r="50" spans="14:21" x14ac:dyDescent="0.35">
      <c r="Q50" s="19"/>
      <c r="R50" s="19"/>
      <c r="S50" s="19"/>
      <c r="T50" s="75"/>
      <c r="U50" s="19"/>
    </row>
    <row r="53" spans="14:21" x14ac:dyDescent="0.35">
      <c r="N53" s="1">
        <f>11000/4</f>
        <v>2750</v>
      </c>
    </row>
    <row r="54" spans="14:21" x14ac:dyDescent="0.35">
      <c r="N54" s="1">
        <v>5500</v>
      </c>
    </row>
    <row r="55" spans="14:21" x14ac:dyDescent="0.35">
      <c r="N55" s="1">
        <v>8250</v>
      </c>
    </row>
    <row r="56" spans="14:21" x14ac:dyDescent="0.35">
      <c r="N56" s="1">
        <v>11000</v>
      </c>
    </row>
  </sheetData>
  <phoneticPr fontId="6" type="noConversion"/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WIP ANALYSIS</vt:lpstr>
      <vt:lpstr>TARGET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 van Heerden</dc:creator>
  <cp:lastModifiedBy>Fritz, D. (Drienie) (Renew-It Rivonia)</cp:lastModifiedBy>
  <cp:lastPrinted>2025-03-05T05:09:51Z</cp:lastPrinted>
  <dcterms:created xsi:type="dcterms:W3CDTF">2016-03-04T06:19:58Z</dcterms:created>
  <dcterms:modified xsi:type="dcterms:W3CDTF">2026-06-04T12:57:06Z</dcterms:modified>
</cp:coreProperties>
</file>